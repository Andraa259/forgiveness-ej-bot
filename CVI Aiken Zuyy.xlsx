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ckp\Documents\NGAJAR GENAP 2023\"/>
    </mc:Choice>
  </mc:AlternateContent>
  <xr:revisionPtr revIDLastSave="0" documentId="8_{D6B767D7-E429-B84F-BE4E-71418FEAC796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KEJELASAN" sheetId="1" r:id="rId1"/>
    <sheet name="RELEVANSI" sheetId="3" r:id="rId2"/>
    <sheet name="KESESUAIAN" sheetId="4" r:id="rId3"/>
    <sheet name="Aiken Indeks" sheetId="2" r:id="rId4"/>
  </sheets>
  <definedNames>
    <definedName name="_xlnm.Print_Area" localSheetId="0">KEJELASAN!$B$1:$AB$23</definedName>
    <definedName name="_xlnm.Print_Area" localSheetId="2">KESESUAIAN!$B$1:$AB$23</definedName>
    <definedName name="_xlnm.Print_Area" localSheetId="1">RELEVANSI!$B$1:$AB$23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M14" i="2"/>
  <c r="O5" i="2"/>
  <c r="N5" i="2"/>
  <c r="M13" i="2"/>
  <c r="M5" i="2"/>
  <c r="N15" i="2"/>
  <c r="N13" i="2"/>
  <c r="N14" i="2"/>
  <c r="O6" i="2"/>
  <c r="N6" i="2"/>
  <c r="M6" i="2"/>
  <c r="F36" i="1"/>
  <c r="AL34" i="1"/>
  <c r="AL35" i="1"/>
  <c r="AK34" i="1"/>
  <c r="AK35" i="1"/>
  <c r="AJ34" i="1"/>
  <c r="AJ35" i="1"/>
  <c r="AI34" i="1"/>
  <c r="AI35" i="1"/>
  <c r="AH34" i="1"/>
  <c r="AH35" i="1"/>
  <c r="AG34" i="1"/>
  <c r="AG35" i="1"/>
  <c r="AF34" i="1"/>
  <c r="AF35" i="1"/>
  <c r="AE34" i="1"/>
  <c r="AE35" i="1"/>
  <c r="AD34" i="1"/>
  <c r="AD35" i="1"/>
  <c r="AC34" i="1"/>
  <c r="AC35" i="1"/>
  <c r="AB34" i="1"/>
  <c r="AB35" i="1"/>
  <c r="AA34" i="1"/>
  <c r="AA35" i="1"/>
  <c r="Z34" i="1"/>
  <c r="Z35" i="1"/>
  <c r="Y34" i="1"/>
  <c r="Y35" i="1"/>
  <c r="X34" i="1"/>
  <c r="X35" i="1"/>
  <c r="W34" i="1"/>
  <c r="W35" i="1"/>
  <c r="V34" i="1"/>
  <c r="V35" i="1"/>
  <c r="U34" i="1"/>
  <c r="U35" i="1"/>
  <c r="T34" i="1"/>
  <c r="T35" i="1"/>
  <c r="S34" i="1"/>
  <c r="S35" i="1"/>
  <c r="R34" i="1"/>
  <c r="R35" i="1"/>
  <c r="Q34" i="1"/>
  <c r="Q35" i="1"/>
  <c r="P34" i="1"/>
  <c r="P35" i="1"/>
  <c r="O34" i="1"/>
  <c r="O35" i="1"/>
  <c r="N34" i="1"/>
  <c r="N35" i="1"/>
  <c r="M34" i="1"/>
  <c r="M35" i="1"/>
  <c r="L34" i="1"/>
  <c r="L35" i="1"/>
  <c r="K34" i="1"/>
  <c r="K35" i="1"/>
  <c r="J34" i="1"/>
  <c r="J35" i="1"/>
  <c r="I34" i="1"/>
  <c r="I35" i="1"/>
  <c r="H34" i="1"/>
  <c r="H35" i="1"/>
  <c r="G34" i="1"/>
  <c r="G35" i="1"/>
  <c r="F34" i="1"/>
  <c r="F35" i="1"/>
  <c r="E34" i="1"/>
  <c r="E35" i="1"/>
  <c r="D34" i="1"/>
  <c r="D35" i="1"/>
  <c r="C34" i="1"/>
  <c r="C35" i="1"/>
  <c r="AL34" i="3"/>
  <c r="AL35" i="3"/>
  <c r="AK34" i="3"/>
  <c r="AK35" i="3"/>
  <c r="AJ34" i="3"/>
  <c r="AJ35" i="3"/>
  <c r="AI34" i="3"/>
  <c r="AI35" i="3"/>
  <c r="AH34" i="3"/>
  <c r="AH35" i="3"/>
  <c r="AG34" i="3"/>
  <c r="AG35" i="3"/>
  <c r="AF34" i="3"/>
  <c r="AF35" i="3"/>
  <c r="AE34" i="3"/>
  <c r="AE35" i="3"/>
  <c r="AD34" i="3"/>
  <c r="AD35" i="3"/>
  <c r="AC34" i="3"/>
  <c r="AC35" i="3"/>
  <c r="AB34" i="3"/>
  <c r="AB35" i="3"/>
  <c r="AA34" i="3"/>
  <c r="AA35" i="3"/>
  <c r="Z34" i="3"/>
  <c r="Z35" i="3"/>
  <c r="Y34" i="3"/>
  <c r="Y35" i="3"/>
  <c r="X34" i="3"/>
  <c r="X35" i="3"/>
  <c r="W34" i="3"/>
  <c r="W35" i="3"/>
  <c r="V34" i="3"/>
  <c r="V35" i="3"/>
  <c r="U34" i="3"/>
  <c r="U35" i="3"/>
  <c r="T34" i="3"/>
  <c r="T35" i="3"/>
  <c r="S34" i="3"/>
  <c r="S35" i="3"/>
  <c r="R34" i="3"/>
  <c r="R35" i="3"/>
  <c r="Q34" i="3"/>
  <c r="Q35" i="3"/>
  <c r="P34" i="3"/>
  <c r="P35" i="3"/>
  <c r="O34" i="3"/>
  <c r="O35" i="3"/>
  <c r="N34" i="3"/>
  <c r="N35" i="3"/>
  <c r="M34" i="3"/>
  <c r="M35" i="3"/>
  <c r="L34" i="3"/>
  <c r="L35" i="3"/>
  <c r="K34" i="3"/>
  <c r="K35" i="3"/>
  <c r="J34" i="3"/>
  <c r="J35" i="3"/>
  <c r="I34" i="3"/>
  <c r="I35" i="3"/>
  <c r="H34" i="3"/>
  <c r="H35" i="3"/>
  <c r="G34" i="3"/>
  <c r="G35" i="3"/>
  <c r="F34" i="3"/>
  <c r="F35" i="3"/>
  <c r="E34" i="3"/>
  <c r="E35" i="3"/>
  <c r="D34" i="3"/>
  <c r="D35" i="3"/>
  <c r="C34" i="3"/>
  <c r="C35" i="3"/>
  <c r="F36" i="3"/>
  <c r="C34" i="4"/>
  <c r="C35" i="4"/>
  <c r="D34" i="4"/>
  <c r="D35" i="4"/>
  <c r="E34" i="4"/>
  <c r="E35" i="4"/>
  <c r="F34" i="4"/>
  <c r="F35" i="4"/>
  <c r="G34" i="4"/>
  <c r="G35" i="4"/>
  <c r="H34" i="4"/>
  <c r="H35" i="4"/>
  <c r="I34" i="4"/>
  <c r="I35" i="4"/>
  <c r="J34" i="4"/>
  <c r="J35" i="4"/>
  <c r="K34" i="4"/>
  <c r="K35" i="4"/>
  <c r="L34" i="4"/>
  <c r="L35" i="4"/>
  <c r="M34" i="4"/>
  <c r="M35" i="4"/>
  <c r="N34" i="4"/>
  <c r="N35" i="4"/>
  <c r="O34" i="4"/>
  <c r="O35" i="4"/>
  <c r="P34" i="4"/>
  <c r="P35" i="4"/>
  <c r="Q34" i="4"/>
  <c r="Q35" i="4"/>
  <c r="R34" i="4"/>
  <c r="R35" i="4"/>
  <c r="S34" i="4"/>
  <c r="S35" i="4"/>
  <c r="T34" i="4"/>
  <c r="T35" i="4"/>
  <c r="U34" i="4"/>
  <c r="U35" i="4"/>
  <c r="V34" i="4"/>
  <c r="V35" i="4"/>
  <c r="W34" i="4"/>
  <c r="W35" i="4"/>
  <c r="X34" i="4"/>
  <c r="X35" i="4"/>
  <c r="Y34" i="4"/>
  <c r="Y35" i="4"/>
  <c r="Z34" i="4"/>
  <c r="Z35" i="4"/>
  <c r="AA34" i="4"/>
  <c r="AA35" i="4"/>
  <c r="AB34" i="4"/>
  <c r="AB35" i="4"/>
  <c r="AC34" i="4"/>
  <c r="AC35" i="4"/>
  <c r="AD34" i="4"/>
  <c r="AD35" i="4"/>
  <c r="AE34" i="4"/>
  <c r="AE35" i="4"/>
  <c r="AF34" i="4"/>
  <c r="AF35" i="4"/>
  <c r="AG34" i="4"/>
  <c r="AG35" i="4"/>
  <c r="AH34" i="4"/>
  <c r="AH35" i="4"/>
  <c r="AI34" i="4"/>
  <c r="AI35" i="4"/>
  <c r="AJ34" i="4"/>
  <c r="AJ35" i="4"/>
  <c r="AK34" i="4"/>
  <c r="AK35" i="4"/>
  <c r="AL34" i="4"/>
  <c r="AL35" i="4"/>
  <c r="F36" i="4"/>
</calcChain>
</file>

<file path=xl/sharedStrings.xml><?xml version="1.0" encoding="utf-8"?>
<sst xmlns="http://schemas.openxmlformats.org/spreadsheetml/2006/main" count="64" uniqueCount="32">
  <si>
    <t>Penilai</t>
  </si>
  <si>
    <t>V</t>
  </si>
  <si>
    <t>Mean V total</t>
  </si>
  <si>
    <t>(Rumus Aiken's)</t>
  </si>
  <si>
    <t>s  = r - lo</t>
  </si>
  <si>
    <t>r = Angka yang diberikan expert</t>
  </si>
  <si>
    <t>lo = Angka penilaian terendah</t>
  </si>
  <si>
    <t>c = Angka penilaian tertinggi</t>
  </si>
  <si>
    <t>NOMER SOAL / AITEM</t>
  </si>
  <si>
    <r>
      <t>Σ</t>
    </r>
    <r>
      <rPr>
        <b/>
        <sz val="14"/>
        <color rgb="FFFF0000"/>
        <rFont val="Calibri"/>
        <family val="2"/>
      </rPr>
      <t>S</t>
    </r>
  </si>
  <si>
    <r>
      <t xml:space="preserve">V = </t>
    </r>
    <r>
      <rPr>
        <b/>
        <sz val="18"/>
        <color rgb="FFFF0000"/>
        <rFont val="Times New Roman"/>
        <family val="1"/>
      </rPr>
      <t>Σ</t>
    </r>
    <r>
      <rPr>
        <b/>
        <sz val="18"/>
        <color rgb="FFFF0000"/>
        <rFont val="宋体"/>
        <charset val="134"/>
      </rPr>
      <t>s/[n(c-1)]</t>
    </r>
  </si>
  <si>
    <t>Keterangan :</t>
  </si>
  <si>
    <t xml:space="preserve">cek pada tabel Aiken Indeks, untuk 4 kemungkinan jawaban dan 10 rater / penilai, ternyata pada taraf signifikansi p = 0,032 ; </t>
  </si>
  <si>
    <t xml:space="preserve">Indeks yang wajib dicapai minimal 0,73 ; Artinya, Rata-Rata Aiken Indeks Kejelasan Aitem tes ini adalah masih </t>
  </si>
  <si>
    <t>diatas batas yang dipersyaratkan (KEJELASANNYA BAIK)</t>
  </si>
  <si>
    <t>KESESUAIAN = AITEM YANG DIKONSTRUKSI SESUAI DENGAN INDIKATORNYA / TIDAK MENYIMPANG DARI INDIKATOR YANG DIUKUR</t>
  </si>
  <si>
    <t>RELEVAN =  AITEM YANG DIKONSTRUKSI RELEVAN UNTUK MENGUKUR VARIABEL YANG DIUKUR / DAPAT MENGGAMBARKAN VARIABEL DENGAN BAIK</t>
  </si>
  <si>
    <t>KEJELASAN = BAHASA YANG DIGUNAKAN DALAM MENULIS AITEM MUDAH/ JELAS DAN DAPAT DIPAHAMI DENGAN BAIK / TIDAK MEMUAT MAKNA GANDA</t>
  </si>
  <si>
    <t>diatas batas yang dipersyaratkan (RELEVAN)</t>
  </si>
  <si>
    <t xml:space="preserve">Indeks yang wajib dicapai minimal 0,73 ; Artinya, Rata-Rata Aiken Indeks Kesesuaian Aitem tes ini adalah masih </t>
  </si>
  <si>
    <t>diatas batas yang dipersyaratkan (TINGKAT KESESUAIAN YANG CUKUP)</t>
  </si>
  <si>
    <t xml:space="preserve">Indeks yang wajib dicapai minimal 0,73 ; Artinya, Rata-Rata Aiken Indeks Relevansi Aitem tes ini adalah masih </t>
  </si>
  <si>
    <t>CVI</t>
  </si>
  <si>
    <t>p</t>
  </si>
  <si>
    <t>Kejelasan</t>
  </si>
  <si>
    <t>Relevansi</t>
  </si>
  <si>
    <t>Kesesuaian</t>
  </si>
  <si>
    <t>CVR</t>
  </si>
  <si>
    <t>Standard CVR</t>
  </si>
  <si>
    <t xml:space="preserve">Standard </t>
  </si>
  <si>
    <t>CARA MELAPORKAN</t>
  </si>
  <si>
    <t>atau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</si>
</sst>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rgb="FFFF0000"/>
      <name val="Calibri"/>
      <family val="2"/>
    </font>
    <font>
      <b/>
      <sz val="18"/>
      <color rgb="FFFF0000"/>
      <name val="Times New Roman"/>
      <family val="1"/>
    </font>
    <font>
      <b/>
      <sz val="18"/>
      <color rgb="FFFF0000"/>
      <name val="宋体"/>
      <charset val="134"/>
    </font>
    <font>
      <sz val="18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>
      <alignment vertical="center"/>
    </xf>
    <xf numFmtId="2" fontId="3" fillId="0" borderId="0" xfId="0" applyNumberFormat="1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2" fontId="12" fillId="0" borderId="0" xfId="0" applyNumberFormat="1" applyFont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1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3" fillId="0" borderId="7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 /><Relationship Id="rId1" Type="http://schemas.openxmlformats.org/officeDocument/2006/relationships/hyperlink" Target="https://4.bp.blogspot.com/-ZqkYhtWB3-g/WamYU69wIAI/AAAAAAAAAoc/D1HVtYrVhMos3ygJcRl0eLoKJnvdvorYACLcBGAs/s1600/aiken+v.JPG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646419</xdr:colOff>
      <xdr:row>45</xdr:row>
      <xdr:rowOff>0</xdr:rowOff>
    </xdr:to>
    <xdr:pic>
      <xdr:nvPicPr>
        <xdr:cNvPr id="2" name="Picture 1" descr="IMG_2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r="-21622" b="-21622"/>
        <a:stretch/>
      </xdr:blipFill>
      <xdr:spPr>
        <a:xfrm>
          <a:off x="0" y="0"/>
          <a:ext cx="7337932" cy="835638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42"/>
  <sheetViews>
    <sheetView showGridLines="0" tabSelected="1" zoomScale="110" zoomScaleNormal="110" zoomScalePageLayoutView="108" workbookViewId="0">
      <selection activeCell="A19" sqref="A19"/>
    </sheetView>
  </sheetViews>
  <sheetFormatPr defaultColWidth="9.14453125" defaultRowHeight="18.75" x14ac:dyDescent="0.2"/>
  <cols>
    <col min="1" max="1" width="9.14453125" style="4"/>
    <col min="2" max="2" width="8.609375" style="4" customWidth="1"/>
    <col min="3" max="27" width="6.72265625" style="4" customWidth="1"/>
    <col min="28" max="28" width="7.93359375" style="4" customWidth="1"/>
    <col min="29" max="16384" width="9.14453125" style="4"/>
  </cols>
  <sheetData>
    <row r="1" spans="2:38" s="11" customFormat="1" x14ac:dyDescent="0.2">
      <c r="B1" s="11" t="s">
        <v>17</v>
      </c>
      <c r="E1" s="12"/>
    </row>
    <row r="2" spans="2:38" s="1" customFormat="1" x14ac:dyDescent="0.2">
      <c r="B2" s="26" t="s">
        <v>0</v>
      </c>
      <c r="C2" s="28" t="s">
        <v>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2:38" s="1" customFormat="1" x14ac:dyDescent="0.2">
      <c r="B3" s="27"/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16">
        <v>13</v>
      </c>
      <c r="P3" s="16">
        <v>14</v>
      </c>
      <c r="Q3" s="16">
        <v>15</v>
      </c>
      <c r="R3" s="16">
        <v>16</v>
      </c>
      <c r="S3" s="16">
        <v>17</v>
      </c>
      <c r="T3" s="16">
        <v>18</v>
      </c>
      <c r="U3" s="16">
        <v>19</v>
      </c>
      <c r="V3" s="16">
        <v>20</v>
      </c>
      <c r="W3" s="16">
        <v>21</v>
      </c>
      <c r="X3" s="20">
        <v>22</v>
      </c>
      <c r="Y3" s="17">
        <v>23</v>
      </c>
      <c r="Z3" s="17">
        <v>24</v>
      </c>
      <c r="AA3" s="17">
        <v>25</v>
      </c>
      <c r="AB3" s="17">
        <v>26</v>
      </c>
      <c r="AC3" s="17">
        <v>27</v>
      </c>
      <c r="AD3" s="17">
        <v>28</v>
      </c>
      <c r="AE3" s="17">
        <v>29</v>
      </c>
      <c r="AF3" s="17">
        <v>30</v>
      </c>
      <c r="AG3" s="17">
        <v>31</v>
      </c>
      <c r="AH3" s="17">
        <v>32</v>
      </c>
      <c r="AI3" s="17">
        <v>33</v>
      </c>
      <c r="AJ3" s="17">
        <v>34</v>
      </c>
      <c r="AK3" s="17">
        <v>35</v>
      </c>
      <c r="AL3" s="17">
        <v>36</v>
      </c>
    </row>
    <row r="4" spans="2:38" x14ac:dyDescent="0.2"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1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x14ac:dyDescent="0.2">
      <c r="B5" s="3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1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x14ac:dyDescent="0.2">
      <c r="B6" s="3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1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2:38" x14ac:dyDescent="0.2">
      <c r="B7" s="23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1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2:38" x14ac:dyDescent="0.2">
      <c r="B8" s="18">
        <v>5</v>
      </c>
      <c r="C8" s="2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1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2:38" x14ac:dyDescent="0.2">
      <c r="B9" s="18">
        <v>6</v>
      </c>
      <c r="C9" s="2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1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2:38" x14ac:dyDescent="0.2">
      <c r="B10" s="18">
        <v>7</v>
      </c>
      <c r="C10" s="2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2:38" x14ac:dyDescent="0.2">
      <c r="B11" s="18">
        <v>8</v>
      </c>
      <c r="C11" s="2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1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2:38" x14ac:dyDescent="0.2">
      <c r="B12" s="18">
        <v>9</v>
      </c>
      <c r="C12" s="2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1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2:38" x14ac:dyDescent="0.2">
      <c r="B13" s="18">
        <v>10</v>
      </c>
      <c r="C13" s="2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1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spans="2:38" x14ac:dyDescent="0.2">
      <c r="B14" s="18">
        <v>11</v>
      </c>
      <c r="C14" s="2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1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2:38" x14ac:dyDescent="0.2">
      <c r="B15" s="32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1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spans="2:38" x14ac:dyDescent="0.2"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1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spans="2:38" x14ac:dyDescent="0.2">
      <c r="B17" s="3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1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spans="2:38" x14ac:dyDescent="0.2">
      <c r="B18" s="3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1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spans="2:38" s="10" customFormat="1" ht="23.25" x14ac:dyDescent="0.2">
      <c r="B19" s="3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1"/>
      <c r="Y19" s="18"/>
      <c r="Z19" s="18"/>
      <c r="AA19" s="18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x14ac:dyDescent="0.2">
      <c r="B20" s="23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1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spans="2:38" x14ac:dyDescent="0.2">
      <c r="B21" s="18">
        <v>18</v>
      </c>
      <c r="C21" s="2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1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spans="2:38" x14ac:dyDescent="0.2">
      <c r="B22" s="18">
        <v>19</v>
      </c>
      <c r="C22" s="2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1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spans="2:38" x14ac:dyDescent="0.2">
      <c r="B23" s="18">
        <v>20</v>
      </c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1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spans="2:38" x14ac:dyDescent="0.2">
      <c r="B24" s="18">
        <v>21</v>
      </c>
      <c r="C24" s="2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1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spans="2:38" x14ac:dyDescent="0.2">
      <c r="B25" s="18">
        <v>22</v>
      </c>
      <c r="C25" s="2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1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spans="2:38" x14ac:dyDescent="0.2">
      <c r="B26" s="18">
        <v>23</v>
      </c>
      <c r="C26" s="2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1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spans="2:38" x14ac:dyDescent="0.2">
      <c r="B27" s="18">
        <v>24</v>
      </c>
      <c r="C27" s="2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1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spans="2:38" x14ac:dyDescent="0.2">
      <c r="B28" s="18">
        <v>25</v>
      </c>
      <c r="C28" s="2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1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spans="2:38" x14ac:dyDescent="0.2">
      <c r="B29" s="18">
        <v>26</v>
      </c>
      <c r="C29" s="2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1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spans="2:38" x14ac:dyDescent="0.2">
      <c r="B30" s="18">
        <v>27</v>
      </c>
      <c r="C30" s="2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1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2:38" x14ac:dyDescent="0.2">
      <c r="B31" s="18">
        <v>28</v>
      </c>
      <c r="C31" s="2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1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spans="2:38" x14ac:dyDescent="0.2">
      <c r="B32" s="18">
        <v>29</v>
      </c>
      <c r="C32" s="2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1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2:38" x14ac:dyDescent="0.2">
      <c r="B33" s="18">
        <v>30</v>
      </c>
      <c r="C33" s="2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1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spans="2:38" x14ac:dyDescent="0.2">
      <c r="B34" s="24" t="s">
        <v>9</v>
      </c>
      <c r="C34" s="5">
        <f>SUM(C4:C33) - (COUNT(C4:C33) * 1)</f>
        <v>0</v>
      </c>
      <c r="D34" s="5">
        <f t="shared" ref="D34:AL34" si="0">SUM(D4:D33) - (COUNT(D4:D33) * 1)</f>
        <v>0</v>
      </c>
      <c r="E34" s="5">
        <f t="shared" si="0"/>
        <v>0</v>
      </c>
      <c r="F34" s="5">
        <f t="shared" si="0"/>
        <v>0</v>
      </c>
      <c r="G34" s="5">
        <f t="shared" si="0"/>
        <v>0</v>
      </c>
      <c r="H34" s="5">
        <f t="shared" si="0"/>
        <v>0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0</v>
      </c>
      <c r="Y34" s="5">
        <f t="shared" si="0"/>
        <v>0</v>
      </c>
      <c r="Z34" s="5">
        <f t="shared" si="0"/>
        <v>0</v>
      </c>
      <c r="AA34" s="5">
        <f t="shared" si="0"/>
        <v>0</v>
      </c>
      <c r="AB34" s="5">
        <f t="shared" si="0"/>
        <v>0</v>
      </c>
      <c r="AC34" s="5">
        <f t="shared" si="0"/>
        <v>0</v>
      </c>
      <c r="AD34" s="5">
        <f t="shared" si="0"/>
        <v>0</v>
      </c>
      <c r="AE34" s="5">
        <f t="shared" si="0"/>
        <v>0</v>
      </c>
      <c r="AF34" s="5">
        <f t="shared" si="0"/>
        <v>0</v>
      </c>
      <c r="AG34" s="5">
        <f t="shared" si="0"/>
        <v>0</v>
      </c>
      <c r="AH34" s="5">
        <f t="shared" si="0"/>
        <v>0</v>
      </c>
      <c r="AI34" s="5">
        <f t="shared" si="0"/>
        <v>0</v>
      </c>
      <c r="AJ34" s="5">
        <f t="shared" si="0"/>
        <v>0</v>
      </c>
      <c r="AK34" s="5">
        <f t="shared" si="0"/>
        <v>0</v>
      </c>
      <c r="AL34" s="5">
        <f t="shared" si="0"/>
        <v>0</v>
      </c>
    </row>
    <row r="35" spans="2:38" x14ac:dyDescent="0.2">
      <c r="B35" s="6" t="s">
        <v>1</v>
      </c>
      <c r="C35" s="5">
        <f>C34/(30*(MAX(C4:C33)-1))</f>
        <v>0</v>
      </c>
      <c r="D35" s="5">
        <f t="shared" ref="D35:AL35" si="1">D34/(30*(MAX(D4:D33)-1))</f>
        <v>0</v>
      </c>
      <c r="E35" s="5">
        <f t="shared" si="1"/>
        <v>0</v>
      </c>
      <c r="F35" s="5">
        <f t="shared" si="1"/>
        <v>0</v>
      </c>
      <c r="G35" s="5">
        <f t="shared" si="1"/>
        <v>0</v>
      </c>
      <c r="H35" s="5">
        <f t="shared" si="1"/>
        <v>0</v>
      </c>
      <c r="I35" s="5">
        <f t="shared" si="1"/>
        <v>0</v>
      </c>
      <c r="J35" s="5">
        <f t="shared" si="1"/>
        <v>0</v>
      </c>
      <c r="K35" s="5">
        <f t="shared" si="1"/>
        <v>0</v>
      </c>
      <c r="L35" s="5">
        <f t="shared" si="1"/>
        <v>0</v>
      </c>
      <c r="M35" s="5">
        <f t="shared" si="1"/>
        <v>0</v>
      </c>
      <c r="N35" s="5">
        <f t="shared" si="1"/>
        <v>0</v>
      </c>
      <c r="O35" s="5">
        <f t="shared" si="1"/>
        <v>0</v>
      </c>
      <c r="P35" s="5">
        <f t="shared" si="1"/>
        <v>0</v>
      </c>
      <c r="Q35" s="5">
        <f t="shared" si="1"/>
        <v>0</v>
      </c>
      <c r="R35" s="5">
        <f t="shared" si="1"/>
        <v>0</v>
      </c>
      <c r="S35" s="5">
        <f t="shared" si="1"/>
        <v>0</v>
      </c>
      <c r="T35" s="5">
        <f t="shared" si="1"/>
        <v>0</v>
      </c>
      <c r="U35" s="5">
        <f t="shared" si="1"/>
        <v>0</v>
      </c>
      <c r="V35" s="5">
        <f t="shared" si="1"/>
        <v>0</v>
      </c>
      <c r="W35" s="5">
        <f t="shared" si="1"/>
        <v>0</v>
      </c>
      <c r="X35" s="5">
        <f t="shared" si="1"/>
        <v>0</v>
      </c>
      <c r="Y35" s="5">
        <f t="shared" si="1"/>
        <v>0</v>
      </c>
      <c r="Z35" s="5">
        <f t="shared" si="1"/>
        <v>0</v>
      </c>
      <c r="AA35" s="5">
        <f t="shared" si="1"/>
        <v>0</v>
      </c>
      <c r="AB35" s="5">
        <f t="shared" si="1"/>
        <v>0</v>
      </c>
      <c r="AC35" s="5">
        <f t="shared" si="1"/>
        <v>0</v>
      </c>
      <c r="AD35" s="5">
        <f t="shared" si="1"/>
        <v>0</v>
      </c>
      <c r="AE35" s="5">
        <f t="shared" si="1"/>
        <v>0</v>
      </c>
      <c r="AF35" s="5">
        <f t="shared" si="1"/>
        <v>0</v>
      </c>
      <c r="AG35" s="5">
        <f t="shared" si="1"/>
        <v>0</v>
      </c>
      <c r="AH35" s="5">
        <f t="shared" si="1"/>
        <v>0</v>
      </c>
      <c r="AI35" s="5">
        <f t="shared" si="1"/>
        <v>0</v>
      </c>
      <c r="AJ35" s="5">
        <f t="shared" si="1"/>
        <v>0</v>
      </c>
      <c r="AK35" s="5">
        <f t="shared" si="1"/>
        <v>0</v>
      </c>
      <c r="AL35" s="5">
        <f t="shared" si="1"/>
        <v>0</v>
      </c>
    </row>
    <row r="36" spans="2:38" x14ac:dyDescent="0.2">
      <c r="C36" s="25" t="s">
        <v>2</v>
      </c>
      <c r="D36" s="25"/>
      <c r="E36" s="25"/>
      <c r="F36" s="1">
        <f>AVERAGE(C35:AL35)</f>
        <v>0</v>
      </c>
      <c r="H36" s="4" t="s">
        <v>12</v>
      </c>
      <c r="I36" s="7"/>
      <c r="J36" s="7"/>
      <c r="K36" s="7"/>
      <c r="L36" s="7"/>
      <c r="M36" s="7"/>
      <c r="N36" s="7"/>
    </row>
    <row r="37" spans="2:38" x14ac:dyDescent="0.2">
      <c r="H37" s="4" t="s">
        <v>13</v>
      </c>
    </row>
    <row r="38" spans="2:38" x14ac:dyDescent="0.2">
      <c r="H38" s="4" t="s">
        <v>14</v>
      </c>
    </row>
    <row r="39" spans="2:38" ht="27" x14ac:dyDescent="0.2">
      <c r="B39" s="9" t="s">
        <v>10</v>
      </c>
      <c r="C39" s="10"/>
      <c r="D39" s="10"/>
      <c r="E39" s="10"/>
      <c r="F39" s="10" t="s">
        <v>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38" x14ac:dyDescent="0.2">
      <c r="B40" s="1" t="s">
        <v>11</v>
      </c>
      <c r="E40" s="8"/>
    </row>
    <row r="41" spans="2:38" x14ac:dyDescent="0.2">
      <c r="B41" s="4" t="s">
        <v>4</v>
      </c>
      <c r="E41" s="8"/>
      <c r="F41" s="4" t="s">
        <v>5</v>
      </c>
    </row>
    <row r="42" spans="2:38" x14ac:dyDescent="0.2">
      <c r="B42" s="4" t="s">
        <v>6</v>
      </c>
      <c r="E42" s="8"/>
      <c r="F42" s="4" t="s">
        <v>7</v>
      </c>
    </row>
  </sheetData>
  <mergeCells count="3">
    <mergeCell ref="C36:E36"/>
    <mergeCell ref="B2:B3"/>
    <mergeCell ref="C2:AL2"/>
  </mergeCells>
  <pageMargins left="0.55486111111111103" right="0.55486111111111103" top="1" bottom="1" header="0.31458333333333299" footer="0.31458333333333299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L42"/>
  <sheetViews>
    <sheetView workbookViewId="0">
      <selection activeCell="A26" sqref="A26"/>
    </sheetView>
  </sheetViews>
  <sheetFormatPr defaultColWidth="9.14453125" defaultRowHeight="18.75" x14ac:dyDescent="0.2"/>
  <cols>
    <col min="1" max="2" width="8.609375" style="4" customWidth="1"/>
    <col min="3" max="26" width="6.72265625" style="4" customWidth="1"/>
    <col min="27" max="27" width="7.93359375" style="4" customWidth="1"/>
    <col min="28" max="16384" width="9.14453125" style="4"/>
  </cols>
  <sheetData>
    <row r="1" spans="2:38" s="11" customFormat="1" x14ac:dyDescent="0.2">
      <c r="B1" s="11" t="s">
        <v>16</v>
      </c>
      <c r="E1" s="12"/>
    </row>
    <row r="2" spans="2:38" s="1" customFormat="1" x14ac:dyDescent="0.2">
      <c r="B2" s="26" t="s">
        <v>0</v>
      </c>
      <c r="C2" s="28" t="s">
        <v>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2:38" s="1" customFormat="1" x14ac:dyDescent="0.2">
      <c r="B3" s="27"/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16">
        <v>13</v>
      </c>
      <c r="P3" s="16">
        <v>14</v>
      </c>
      <c r="Q3" s="16">
        <v>15</v>
      </c>
      <c r="R3" s="16">
        <v>16</v>
      </c>
      <c r="S3" s="16">
        <v>17</v>
      </c>
      <c r="T3" s="16">
        <v>18</v>
      </c>
      <c r="U3" s="16">
        <v>19</v>
      </c>
      <c r="V3" s="16">
        <v>20</v>
      </c>
      <c r="W3" s="16">
        <v>21</v>
      </c>
      <c r="X3" s="20">
        <v>22</v>
      </c>
      <c r="Y3" s="17">
        <v>23</v>
      </c>
      <c r="Z3" s="17">
        <v>24</v>
      </c>
      <c r="AA3" s="17">
        <v>25</v>
      </c>
      <c r="AB3" s="17">
        <v>26</v>
      </c>
      <c r="AC3" s="17">
        <v>27</v>
      </c>
      <c r="AD3" s="17">
        <v>28</v>
      </c>
      <c r="AE3" s="17">
        <v>29</v>
      </c>
      <c r="AF3" s="17">
        <v>30</v>
      </c>
      <c r="AG3" s="17">
        <v>31</v>
      </c>
      <c r="AH3" s="17">
        <v>32</v>
      </c>
      <c r="AI3" s="17">
        <v>33</v>
      </c>
      <c r="AJ3" s="17">
        <v>34</v>
      </c>
      <c r="AK3" s="17">
        <v>35</v>
      </c>
      <c r="AL3" s="17">
        <v>36</v>
      </c>
    </row>
    <row r="4" spans="2:38" x14ac:dyDescent="0.2"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1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x14ac:dyDescent="0.2">
      <c r="B5" s="3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1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x14ac:dyDescent="0.2">
      <c r="B6" s="23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1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2:38" x14ac:dyDescent="0.2">
      <c r="B7" s="18">
        <v>4</v>
      </c>
      <c r="C7" s="2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1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2:38" x14ac:dyDescent="0.2">
      <c r="B8" s="18">
        <v>5</v>
      </c>
      <c r="C8" s="2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1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2:38" x14ac:dyDescent="0.2">
      <c r="B9" s="18">
        <v>6</v>
      </c>
      <c r="C9" s="2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1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2:38" x14ac:dyDescent="0.2">
      <c r="B10" s="18">
        <v>7</v>
      </c>
      <c r="C10" s="2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2:38" x14ac:dyDescent="0.2">
      <c r="B11" s="18">
        <v>8</v>
      </c>
      <c r="C11" s="2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1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2:38" x14ac:dyDescent="0.2">
      <c r="B12" s="18">
        <v>9</v>
      </c>
      <c r="C12" s="2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1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2:38" x14ac:dyDescent="0.2">
      <c r="B13" s="18">
        <v>10</v>
      </c>
      <c r="C13" s="2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1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spans="2:38" x14ac:dyDescent="0.2">
      <c r="B14" s="18">
        <v>11</v>
      </c>
      <c r="C14" s="2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1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2:38" x14ac:dyDescent="0.2">
      <c r="B15" s="18">
        <v>12</v>
      </c>
      <c r="C15" s="2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1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spans="2:38" x14ac:dyDescent="0.2">
      <c r="B16" s="18">
        <v>13</v>
      </c>
      <c r="C16" s="2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1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spans="2:38" x14ac:dyDescent="0.2">
      <c r="B17" s="18">
        <v>14</v>
      </c>
      <c r="C17" s="2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1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spans="2:38" x14ac:dyDescent="0.2">
      <c r="B18" s="18">
        <v>15</v>
      </c>
      <c r="C18" s="2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1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spans="2:38" s="10" customFormat="1" ht="23.25" x14ac:dyDescent="0.2">
      <c r="B19" s="18">
        <v>16</v>
      </c>
      <c r="C19" s="2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1"/>
      <c r="Y19" s="18"/>
      <c r="Z19" s="18"/>
      <c r="AA19" s="18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x14ac:dyDescent="0.2">
      <c r="B20" s="18">
        <v>17</v>
      </c>
      <c r="C20" s="2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1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spans="2:38" x14ac:dyDescent="0.2">
      <c r="B21" s="18">
        <v>18</v>
      </c>
      <c r="C21" s="2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1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spans="2:38" x14ac:dyDescent="0.2">
      <c r="B22" s="18">
        <v>19</v>
      </c>
      <c r="C22" s="2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1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spans="2:38" x14ac:dyDescent="0.2">
      <c r="B23" s="18">
        <v>20</v>
      </c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1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spans="2:38" x14ac:dyDescent="0.2">
      <c r="B24" s="18">
        <v>21</v>
      </c>
      <c r="C24" s="2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1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spans="2:38" x14ac:dyDescent="0.2">
      <c r="B25" s="18">
        <v>22</v>
      </c>
      <c r="C25" s="2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1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spans="2:38" x14ac:dyDescent="0.2">
      <c r="B26" s="18">
        <v>23</v>
      </c>
      <c r="C26" s="2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1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spans="2:38" x14ac:dyDescent="0.2">
      <c r="B27" s="18">
        <v>24</v>
      </c>
      <c r="C27" s="2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1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spans="2:38" x14ac:dyDescent="0.2">
      <c r="B28" s="18">
        <v>25</v>
      </c>
      <c r="C28" s="2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1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spans="2:38" x14ac:dyDescent="0.2">
      <c r="B29" s="18">
        <v>26</v>
      </c>
      <c r="C29" s="2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1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spans="2:38" x14ac:dyDescent="0.2">
      <c r="B30" s="18">
        <v>27</v>
      </c>
      <c r="C30" s="2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1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2:38" x14ac:dyDescent="0.2">
      <c r="B31" s="18">
        <v>28</v>
      </c>
      <c r="C31" s="2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1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spans="2:38" x14ac:dyDescent="0.2">
      <c r="B32" s="18">
        <v>29</v>
      </c>
      <c r="C32" s="2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1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2:38" x14ac:dyDescent="0.2">
      <c r="B33" s="18">
        <v>30</v>
      </c>
      <c r="C33" s="2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1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spans="2:38" x14ac:dyDescent="0.2">
      <c r="B34" s="24" t="s">
        <v>9</v>
      </c>
      <c r="C34" s="5">
        <f>SUM(C4:C33) - (COUNT(C4:C33) * 1)</f>
        <v>0</v>
      </c>
      <c r="D34" s="5">
        <f t="shared" ref="D34:AL34" si="0">SUM(D4:D33) - (COUNT(D4:D33) * 1)</f>
        <v>0</v>
      </c>
      <c r="E34" s="5">
        <f t="shared" si="0"/>
        <v>0</v>
      </c>
      <c r="F34" s="5">
        <f t="shared" si="0"/>
        <v>0</v>
      </c>
      <c r="G34" s="5">
        <f t="shared" si="0"/>
        <v>0</v>
      </c>
      <c r="H34" s="5">
        <f t="shared" si="0"/>
        <v>0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0</v>
      </c>
      <c r="Y34" s="5">
        <f t="shared" si="0"/>
        <v>0</v>
      </c>
      <c r="Z34" s="5">
        <f t="shared" si="0"/>
        <v>0</v>
      </c>
      <c r="AA34" s="5">
        <f t="shared" si="0"/>
        <v>0</v>
      </c>
      <c r="AB34" s="5">
        <f t="shared" si="0"/>
        <v>0</v>
      </c>
      <c r="AC34" s="5">
        <f t="shared" si="0"/>
        <v>0</v>
      </c>
      <c r="AD34" s="5">
        <f t="shared" si="0"/>
        <v>0</v>
      </c>
      <c r="AE34" s="5">
        <f t="shared" si="0"/>
        <v>0</v>
      </c>
      <c r="AF34" s="5">
        <f t="shared" si="0"/>
        <v>0</v>
      </c>
      <c r="AG34" s="5">
        <f t="shared" si="0"/>
        <v>0</v>
      </c>
      <c r="AH34" s="5">
        <f t="shared" si="0"/>
        <v>0</v>
      </c>
      <c r="AI34" s="5">
        <f t="shared" si="0"/>
        <v>0</v>
      </c>
      <c r="AJ34" s="5">
        <f t="shared" si="0"/>
        <v>0</v>
      </c>
      <c r="AK34" s="5">
        <f t="shared" si="0"/>
        <v>0</v>
      </c>
      <c r="AL34" s="5">
        <f t="shared" si="0"/>
        <v>0</v>
      </c>
    </row>
    <row r="35" spans="2:38" x14ac:dyDescent="0.2">
      <c r="B35" s="6" t="s">
        <v>1</v>
      </c>
      <c r="C35" s="5">
        <f>C34/(30*(MAX(C4:C33)-1))</f>
        <v>0</v>
      </c>
      <c r="D35" s="5">
        <f t="shared" ref="D35:AL35" si="1">D34/(30*(MAX(D4:D33)-1))</f>
        <v>0</v>
      </c>
      <c r="E35" s="5">
        <f t="shared" si="1"/>
        <v>0</v>
      </c>
      <c r="F35" s="5">
        <f t="shared" si="1"/>
        <v>0</v>
      </c>
      <c r="G35" s="5">
        <f t="shared" si="1"/>
        <v>0</v>
      </c>
      <c r="H35" s="5">
        <f t="shared" si="1"/>
        <v>0</v>
      </c>
      <c r="I35" s="5">
        <f t="shared" si="1"/>
        <v>0</v>
      </c>
      <c r="J35" s="5">
        <f t="shared" si="1"/>
        <v>0</v>
      </c>
      <c r="K35" s="5">
        <f t="shared" si="1"/>
        <v>0</v>
      </c>
      <c r="L35" s="5">
        <f t="shared" si="1"/>
        <v>0</v>
      </c>
      <c r="M35" s="5">
        <f t="shared" si="1"/>
        <v>0</v>
      </c>
      <c r="N35" s="5">
        <f t="shared" si="1"/>
        <v>0</v>
      </c>
      <c r="O35" s="5">
        <f t="shared" si="1"/>
        <v>0</v>
      </c>
      <c r="P35" s="5">
        <f t="shared" si="1"/>
        <v>0</v>
      </c>
      <c r="Q35" s="5">
        <f t="shared" si="1"/>
        <v>0</v>
      </c>
      <c r="R35" s="5">
        <f t="shared" si="1"/>
        <v>0</v>
      </c>
      <c r="S35" s="5">
        <f t="shared" si="1"/>
        <v>0</v>
      </c>
      <c r="T35" s="5">
        <f t="shared" si="1"/>
        <v>0</v>
      </c>
      <c r="U35" s="5">
        <f t="shared" si="1"/>
        <v>0</v>
      </c>
      <c r="V35" s="5">
        <f t="shared" si="1"/>
        <v>0</v>
      </c>
      <c r="W35" s="5">
        <f t="shared" si="1"/>
        <v>0</v>
      </c>
      <c r="X35" s="5">
        <f t="shared" si="1"/>
        <v>0</v>
      </c>
      <c r="Y35" s="5">
        <f t="shared" si="1"/>
        <v>0</v>
      </c>
      <c r="Z35" s="5">
        <f t="shared" si="1"/>
        <v>0</v>
      </c>
      <c r="AA35" s="5">
        <f t="shared" si="1"/>
        <v>0</v>
      </c>
      <c r="AB35" s="5">
        <f t="shared" si="1"/>
        <v>0</v>
      </c>
      <c r="AC35" s="5">
        <f t="shared" si="1"/>
        <v>0</v>
      </c>
      <c r="AD35" s="5">
        <f t="shared" si="1"/>
        <v>0</v>
      </c>
      <c r="AE35" s="5">
        <f t="shared" si="1"/>
        <v>0</v>
      </c>
      <c r="AF35" s="5">
        <f t="shared" si="1"/>
        <v>0</v>
      </c>
      <c r="AG35" s="5">
        <f t="shared" si="1"/>
        <v>0</v>
      </c>
      <c r="AH35" s="5">
        <f t="shared" si="1"/>
        <v>0</v>
      </c>
      <c r="AI35" s="5">
        <f t="shared" si="1"/>
        <v>0</v>
      </c>
      <c r="AJ35" s="5">
        <f t="shared" si="1"/>
        <v>0</v>
      </c>
      <c r="AK35" s="5">
        <f t="shared" si="1"/>
        <v>0</v>
      </c>
      <c r="AL35" s="5">
        <f t="shared" si="1"/>
        <v>0</v>
      </c>
    </row>
    <row r="36" spans="2:38" x14ac:dyDescent="0.2">
      <c r="C36" s="25" t="s">
        <v>2</v>
      </c>
      <c r="D36" s="25"/>
      <c r="E36" s="25"/>
      <c r="F36" s="1">
        <f>AVERAGE(C35:AA35)</f>
        <v>0</v>
      </c>
      <c r="H36" s="4" t="s">
        <v>12</v>
      </c>
      <c r="I36" s="7"/>
      <c r="J36" s="7"/>
      <c r="K36" s="7"/>
      <c r="L36" s="7"/>
      <c r="M36" s="7"/>
      <c r="N36" s="7"/>
    </row>
    <row r="37" spans="2:38" x14ac:dyDescent="0.2">
      <c r="H37" s="4" t="s">
        <v>21</v>
      </c>
    </row>
    <row r="38" spans="2:38" x14ac:dyDescent="0.2">
      <c r="H38" s="4" t="s">
        <v>18</v>
      </c>
    </row>
    <row r="39" spans="2:38" ht="27" x14ac:dyDescent="0.2">
      <c r="B39" s="9" t="s">
        <v>10</v>
      </c>
      <c r="C39" s="10"/>
      <c r="D39" s="10"/>
      <c r="E39" s="10"/>
      <c r="F39" s="10" t="s">
        <v>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38" x14ac:dyDescent="0.2">
      <c r="B40" s="1" t="s">
        <v>11</v>
      </c>
      <c r="E40" s="8"/>
    </row>
    <row r="41" spans="2:38" x14ac:dyDescent="0.2">
      <c r="B41" s="4" t="s">
        <v>4</v>
      </c>
      <c r="E41" s="8"/>
      <c r="F41" s="4" t="s">
        <v>5</v>
      </c>
    </row>
    <row r="42" spans="2:38" x14ac:dyDescent="0.2">
      <c r="B42" s="4" t="s">
        <v>6</v>
      </c>
      <c r="E42" s="8"/>
      <c r="F42" s="4" t="s">
        <v>7</v>
      </c>
    </row>
  </sheetData>
  <mergeCells count="3">
    <mergeCell ref="B2:B3"/>
    <mergeCell ref="C36:E36"/>
    <mergeCell ref="C2:AL2"/>
  </mergeCells>
  <pageMargins left="0.55486111111111103" right="0.55486111111111103" top="1" bottom="1" header="0.31458333333333299" footer="0.31458333333333299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L42"/>
  <sheetViews>
    <sheetView workbookViewId="0">
      <selection activeCell="A42" sqref="A42"/>
    </sheetView>
  </sheetViews>
  <sheetFormatPr defaultColWidth="9.14453125" defaultRowHeight="18.75" x14ac:dyDescent="0.2"/>
  <cols>
    <col min="1" max="2" width="8.609375" style="4" customWidth="1"/>
    <col min="3" max="26" width="6.72265625" style="4" customWidth="1"/>
    <col min="27" max="27" width="7.93359375" style="4" customWidth="1"/>
    <col min="28" max="16384" width="9.14453125" style="4"/>
  </cols>
  <sheetData>
    <row r="1" spans="2:38" s="11" customFormat="1" x14ac:dyDescent="0.2">
      <c r="B1" s="11" t="s">
        <v>15</v>
      </c>
      <c r="E1" s="12"/>
    </row>
    <row r="2" spans="2:38" s="1" customFormat="1" x14ac:dyDescent="0.2">
      <c r="B2" s="30" t="s">
        <v>0</v>
      </c>
      <c r="C2" s="28" t="s">
        <v>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2:38" s="1" customFormat="1" x14ac:dyDescent="0.2">
      <c r="B3" s="3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0">
        <v>22</v>
      </c>
      <c r="Y3" s="17">
        <v>23</v>
      </c>
      <c r="Z3" s="17">
        <v>24</v>
      </c>
      <c r="AA3" s="17">
        <v>25</v>
      </c>
      <c r="AB3" s="17">
        <v>26</v>
      </c>
      <c r="AC3" s="17">
        <v>27</v>
      </c>
      <c r="AD3" s="17">
        <v>28</v>
      </c>
      <c r="AE3" s="17">
        <v>29</v>
      </c>
      <c r="AF3" s="17">
        <v>30</v>
      </c>
      <c r="AG3" s="17">
        <v>31</v>
      </c>
      <c r="AH3" s="17">
        <v>32</v>
      </c>
      <c r="AI3" s="17">
        <v>33</v>
      </c>
      <c r="AJ3" s="17">
        <v>34</v>
      </c>
      <c r="AK3" s="17">
        <v>35</v>
      </c>
      <c r="AL3" s="17">
        <v>36</v>
      </c>
    </row>
    <row r="4" spans="2:38" x14ac:dyDescent="0.2">
      <c r="B4" s="2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1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x14ac:dyDescent="0.2">
      <c r="B5" s="18">
        <v>2</v>
      </c>
      <c r="C5" s="2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1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x14ac:dyDescent="0.2">
      <c r="B6" s="18">
        <v>3</v>
      </c>
      <c r="C6" s="2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1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2:38" x14ac:dyDescent="0.2">
      <c r="B7" s="18">
        <v>4</v>
      </c>
      <c r="C7" s="2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1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2:38" x14ac:dyDescent="0.2">
      <c r="B8" s="18">
        <v>5</v>
      </c>
      <c r="C8" s="2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1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2:38" x14ac:dyDescent="0.2">
      <c r="B9" s="18">
        <v>6</v>
      </c>
      <c r="C9" s="2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1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2:38" x14ac:dyDescent="0.2">
      <c r="B10" s="18">
        <v>7</v>
      </c>
      <c r="C10" s="2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2:38" x14ac:dyDescent="0.2">
      <c r="B11" s="18">
        <v>8</v>
      </c>
      <c r="C11" s="2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1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2:38" x14ac:dyDescent="0.2">
      <c r="B12" s="18">
        <v>9</v>
      </c>
      <c r="C12" s="2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1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2:38" x14ac:dyDescent="0.2">
      <c r="B13" s="18">
        <v>10</v>
      </c>
      <c r="C13" s="2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1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spans="2:38" x14ac:dyDescent="0.2">
      <c r="B14" s="18">
        <v>11</v>
      </c>
      <c r="C14" s="2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1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2:38" x14ac:dyDescent="0.2">
      <c r="B15" s="18">
        <v>12</v>
      </c>
      <c r="C15" s="2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1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spans="2:38" x14ac:dyDescent="0.2">
      <c r="B16" s="18">
        <v>13</v>
      </c>
      <c r="C16" s="2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1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spans="2:38" x14ac:dyDescent="0.2">
      <c r="B17" s="18">
        <v>14</v>
      </c>
      <c r="C17" s="2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1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spans="2:38" x14ac:dyDescent="0.2">
      <c r="B18" s="18">
        <v>15</v>
      </c>
      <c r="C18" s="2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1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spans="2:38" s="10" customFormat="1" ht="23.25" x14ac:dyDescent="0.2">
      <c r="B19" s="18">
        <v>16</v>
      </c>
      <c r="C19" s="2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1"/>
      <c r="Y19" s="18"/>
      <c r="Z19" s="18"/>
      <c r="AA19" s="18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x14ac:dyDescent="0.2">
      <c r="B20" s="18">
        <v>17</v>
      </c>
      <c r="C20" s="2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1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spans="2:38" x14ac:dyDescent="0.2">
      <c r="B21" s="18">
        <v>18</v>
      </c>
      <c r="C21" s="2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1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spans="2:38" x14ac:dyDescent="0.2">
      <c r="B22" s="18">
        <v>19</v>
      </c>
      <c r="C22" s="2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1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spans="2:38" x14ac:dyDescent="0.2">
      <c r="B23" s="18">
        <v>20</v>
      </c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1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spans="2:38" x14ac:dyDescent="0.2">
      <c r="B24" s="18">
        <v>21</v>
      </c>
      <c r="C24" s="2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1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spans="2:38" x14ac:dyDescent="0.2">
      <c r="B25" s="18">
        <v>22</v>
      </c>
      <c r="C25" s="2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1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spans="2:38" x14ac:dyDescent="0.2">
      <c r="B26" s="18">
        <v>23</v>
      </c>
      <c r="C26" s="2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1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spans="2:38" x14ac:dyDescent="0.2">
      <c r="B27" s="18">
        <v>24</v>
      </c>
      <c r="C27" s="2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1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spans="2:38" x14ac:dyDescent="0.2">
      <c r="B28" s="18">
        <v>25</v>
      </c>
      <c r="C28" s="2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1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spans="2:38" x14ac:dyDescent="0.2">
      <c r="B29" s="18">
        <v>26</v>
      </c>
      <c r="C29" s="2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1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spans="2:38" x14ac:dyDescent="0.2">
      <c r="B30" s="18">
        <v>27</v>
      </c>
      <c r="C30" s="2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1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2:38" x14ac:dyDescent="0.2">
      <c r="B31" s="18">
        <v>28</v>
      </c>
      <c r="C31" s="2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1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spans="2:38" x14ac:dyDescent="0.2">
      <c r="B32" s="18">
        <v>29</v>
      </c>
      <c r="C32" s="2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1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2:38" x14ac:dyDescent="0.2">
      <c r="B33" s="18">
        <v>30</v>
      </c>
      <c r="C33" s="2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1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spans="2:38" x14ac:dyDescent="0.2">
      <c r="B34" s="24" t="s">
        <v>9</v>
      </c>
      <c r="C34" s="5">
        <f>SUM(C4:C33) - (COUNT(C4:C33) * 1)</f>
        <v>0</v>
      </c>
      <c r="D34" s="5">
        <f t="shared" ref="D34:AL34" si="0">SUM(D4:D33) - (COUNT(D4:D33) * 1)</f>
        <v>0</v>
      </c>
      <c r="E34" s="5">
        <f t="shared" si="0"/>
        <v>0</v>
      </c>
      <c r="F34" s="5">
        <f t="shared" si="0"/>
        <v>0</v>
      </c>
      <c r="G34" s="5">
        <f t="shared" si="0"/>
        <v>0</v>
      </c>
      <c r="H34" s="5">
        <f t="shared" si="0"/>
        <v>0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0</v>
      </c>
      <c r="Y34" s="5">
        <f t="shared" si="0"/>
        <v>0</v>
      </c>
      <c r="Z34" s="5">
        <f t="shared" si="0"/>
        <v>0</v>
      </c>
      <c r="AA34" s="5">
        <f t="shared" si="0"/>
        <v>0</v>
      </c>
      <c r="AB34" s="5">
        <f t="shared" si="0"/>
        <v>0</v>
      </c>
      <c r="AC34" s="5">
        <f t="shared" si="0"/>
        <v>0</v>
      </c>
      <c r="AD34" s="5">
        <f t="shared" si="0"/>
        <v>0</v>
      </c>
      <c r="AE34" s="5">
        <f t="shared" si="0"/>
        <v>0</v>
      </c>
      <c r="AF34" s="5">
        <f t="shared" si="0"/>
        <v>0</v>
      </c>
      <c r="AG34" s="5">
        <f t="shared" si="0"/>
        <v>0</v>
      </c>
      <c r="AH34" s="5">
        <f t="shared" si="0"/>
        <v>0</v>
      </c>
      <c r="AI34" s="5">
        <f t="shared" si="0"/>
        <v>0</v>
      </c>
      <c r="AJ34" s="5">
        <f t="shared" si="0"/>
        <v>0</v>
      </c>
      <c r="AK34" s="5">
        <f t="shared" si="0"/>
        <v>0</v>
      </c>
      <c r="AL34" s="5">
        <f t="shared" si="0"/>
        <v>0</v>
      </c>
    </row>
    <row r="35" spans="2:38" x14ac:dyDescent="0.2">
      <c r="B35" s="6" t="s">
        <v>1</v>
      </c>
      <c r="C35" s="5">
        <f>C34/(30*(MAX(C4:C33)-1))</f>
        <v>0</v>
      </c>
      <c r="D35" s="5">
        <f t="shared" ref="D35:AL35" si="1">D34/(30*(MAX(D4:D33)-1))</f>
        <v>0</v>
      </c>
      <c r="E35" s="5">
        <f t="shared" si="1"/>
        <v>0</v>
      </c>
      <c r="F35" s="5">
        <f t="shared" si="1"/>
        <v>0</v>
      </c>
      <c r="G35" s="5">
        <f t="shared" si="1"/>
        <v>0</v>
      </c>
      <c r="H35" s="5">
        <f t="shared" si="1"/>
        <v>0</v>
      </c>
      <c r="I35" s="5">
        <f t="shared" si="1"/>
        <v>0</v>
      </c>
      <c r="J35" s="5">
        <f t="shared" si="1"/>
        <v>0</v>
      </c>
      <c r="K35" s="5">
        <f t="shared" si="1"/>
        <v>0</v>
      </c>
      <c r="L35" s="5">
        <f t="shared" si="1"/>
        <v>0</v>
      </c>
      <c r="M35" s="5">
        <f t="shared" si="1"/>
        <v>0</v>
      </c>
      <c r="N35" s="5">
        <f t="shared" si="1"/>
        <v>0</v>
      </c>
      <c r="O35" s="5">
        <f t="shared" si="1"/>
        <v>0</v>
      </c>
      <c r="P35" s="5">
        <f t="shared" si="1"/>
        <v>0</v>
      </c>
      <c r="Q35" s="5">
        <f t="shared" si="1"/>
        <v>0</v>
      </c>
      <c r="R35" s="5">
        <f t="shared" si="1"/>
        <v>0</v>
      </c>
      <c r="S35" s="5">
        <f t="shared" si="1"/>
        <v>0</v>
      </c>
      <c r="T35" s="5">
        <f t="shared" si="1"/>
        <v>0</v>
      </c>
      <c r="U35" s="5">
        <f t="shared" si="1"/>
        <v>0</v>
      </c>
      <c r="V35" s="5">
        <f t="shared" si="1"/>
        <v>0</v>
      </c>
      <c r="W35" s="5">
        <f t="shared" si="1"/>
        <v>0</v>
      </c>
      <c r="X35" s="5">
        <f t="shared" si="1"/>
        <v>0</v>
      </c>
      <c r="Y35" s="5">
        <f t="shared" si="1"/>
        <v>0</v>
      </c>
      <c r="Z35" s="5">
        <f t="shared" si="1"/>
        <v>0</v>
      </c>
      <c r="AA35" s="5">
        <f t="shared" si="1"/>
        <v>0</v>
      </c>
      <c r="AB35" s="5">
        <f t="shared" si="1"/>
        <v>0</v>
      </c>
      <c r="AC35" s="5">
        <f t="shared" si="1"/>
        <v>0</v>
      </c>
      <c r="AD35" s="5">
        <f t="shared" si="1"/>
        <v>0</v>
      </c>
      <c r="AE35" s="5">
        <f t="shared" si="1"/>
        <v>0</v>
      </c>
      <c r="AF35" s="5">
        <f t="shared" si="1"/>
        <v>0</v>
      </c>
      <c r="AG35" s="5">
        <f t="shared" si="1"/>
        <v>0</v>
      </c>
      <c r="AH35" s="5">
        <f t="shared" si="1"/>
        <v>0</v>
      </c>
      <c r="AI35" s="5">
        <f t="shared" si="1"/>
        <v>0</v>
      </c>
      <c r="AJ35" s="5">
        <f t="shared" si="1"/>
        <v>0</v>
      </c>
      <c r="AK35" s="5">
        <f t="shared" si="1"/>
        <v>0</v>
      </c>
      <c r="AL35" s="5">
        <f t="shared" si="1"/>
        <v>0</v>
      </c>
    </row>
    <row r="36" spans="2:38" x14ac:dyDescent="0.2">
      <c r="C36" s="25" t="s">
        <v>2</v>
      </c>
      <c r="D36" s="25"/>
      <c r="E36" s="25"/>
      <c r="F36" s="1">
        <f>AVERAGE(C35:AL35)</f>
        <v>0</v>
      </c>
      <c r="H36" s="4" t="s">
        <v>12</v>
      </c>
      <c r="I36" s="7"/>
      <c r="J36" s="7"/>
      <c r="K36" s="7"/>
      <c r="L36" s="7"/>
      <c r="M36" s="7"/>
      <c r="N36" s="7"/>
    </row>
    <row r="37" spans="2:38" x14ac:dyDescent="0.2">
      <c r="H37" s="4" t="s">
        <v>19</v>
      </c>
    </row>
    <row r="38" spans="2:38" x14ac:dyDescent="0.2">
      <c r="H38" s="4" t="s">
        <v>20</v>
      </c>
    </row>
    <row r="39" spans="2:38" ht="27" x14ac:dyDescent="0.2">
      <c r="B39" s="9" t="s">
        <v>10</v>
      </c>
      <c r="C39" s="10"/>
      <c r="D39" s="10"/>
      <c r="E39" s="10"/>
      <c r="F39" s="10" t="s">
        <v>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38" x14ac:dyDescent="0.2">
      <c r="B40" s="1" t="s">
        <v>11</v>
      </c>
      <c r="E40" s="8"/>
    </row>
    <row r="41" spans="2:38" x14ac:dyDescent="0.2">
      <c r="B41" s="4" t="s">
        <v>4</v>
      </c>
      <c r="E41" s="8"/>
      <c r="F41" s="4" t="s">
        <v>5</v>
      </c>
    </row>
    <row r="42" spans="2:38" x14ac:dyDescent="0.2">
      <c r="B42" s="4" t="s">
        <v>6</v>
      </c>
      <c r="E42" s="8"/>
      <c r="F42" s="4" t="s">
        <v>7</v>
      </c>
    </row>
  </sheetData>
  <mergeCells count="3">
    <mergeCell ref="B2:B3"/>
    <mergeCell ref="C36:E36"/>
    <mergeCell ref="C2:AL2"/>
  </mergeCells>
  <pageMargins left="0.55486111111111103" right="0.55486111111111103" top="1" bottom="1" header="0.31458333333333299" footer="0.31458333333333299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L2:P15"/>
  <sheetViews>
    <sheetView showGridLines="0" topLeftCell="J1" zoomScale="119" zoomScaleNormal="119" workbookViewId="0">
      <selection activeCell="M15" sqref="M15"/>
    </sheetView>
  </sheetViews>
  <sheetFormatPr defaultRowHeight="15" x14ac:dyDescent="0.2"/>
  <cols>
    <col min="12" max="12" width="13.046875" customWidth="1"/>
    <col min="13" max="13" width="11.1640625" customWidth="1"/>
    <col min="14" max="14" width="11.703125" customWidth="1"/>
    <col min="15" max="15" width="11.296875" customWidth="1"/>
  </cols>
  <sheetData>
    <row r="2" spans="12:16" x14ac:dyDescent="0.2">
      <c r="L2" t="s">
        <v>30</v>
      </c>
    </row>
    <row r="4" spans="12:16" x14ac:dyDescent="0.2">
      <c r="L4" s="13"/>
      <c r="M4" s="15" t="s">
        <v>24</v>
      </c>
      <c r="N4" s="15" t="s">
        <v>25</v>
      </c>
      <c r="O4" s="15" t="s">
        <v>26</v>
      </c>
    </row>
    <row r="5" spans="12:16" x14ac:dyDescent="0.2">
      <c r="L5" s="15" t="s">
        <v>22</v>
      </c>
      <c r="M5" s="13" t="str">
        <f>MIN(KEJELASAN!$C$35:$AL$35) &amp; " s/d " &amp; MAX(KEJELASAN!$C$35:$AL$35)</f>
        <v>0 s/d 0</v>
      </c>
      <c r="N5" s="13" t="str">
        <f>MIN(RELEVANSI!$C$35:$AL$35) &amp; " s/d " &amp; MAX(RELEVANSI!$C$35:$AL$35)</f>
        <v>0 s/d 0</v>
      </c>
      <c r="O5" s="13" t="str">
        <f>MIN(KESESUAIAN!$C$35:$AL$35) &amp; " s/d " &amp; MAX(KESESUAIAN!$C$35:$AL$35)</f>
        <v>0 s/d 0</v>
      </c>
    </row>
    <row r="6" spans="12:16" x14ac:dyDescent="0.2">
      <c r="L6" s="15" t="s">
        <v>27</v>
      </c>
      <c r="M6" s="13">
        <f>KEJELASAN!F36</f>
        <v>0</v>
      </c>
      <c r="N6" s="13">
        <f>RELEVANSI!F36</f>
        <v>0</v>
      </c>
      <c r="O6" s="13">
        <f>KESESUAIAN!F36</f>
        <v>0</v>
      </c>
    </row>
    <row r="7" spans="12:16" x14ac:dyDescent="0.2">
      <c r="L7" s="15" t="s">
        <v>28</v>
      </c>
      <c r="M7" s="13">
        <v>0.73</v>
      </c>
      <c r="N7" s="13">
        <v>0.73</v>
      </c>
      <c r="O7" s="13">
        <v>0.73</v>
      </c>
    </row>
    <row r="8" spans="12:16" x14ac:dyDescent="0.2">
      <c r="L8" s="15" t="s">
        <v>23</v>
      </c>
      <c r="M8" s="13">
        <v>3.2000000000000001E-2</v>
      </c>
      <c r="N8" s="13">
        <v>3.2000000000000001E-2</v>
      </c>
      <c r="O8" s="13">
        <v>3.2000000000000001E-2</v>
      </c>
    </row>
    <row r="10" spans="12:16" x14ac:dyDescent="0.2">
      <c r="L10" s="14" t="s">
        <v>31</v>
      </c>
    </row>
    <row r="12" spans="12:16" x14ac:dyDescent="0.2">
      <c r="L12" s="13"/>
      <c r="M12" s="15" t="s">
        <v>22</v>
      </c>
      <c r="N12" s="15" t="s">
        <v>27</v>
      </c>
      <c r="O12" s="15" t="s">
        <v>29</v>
      </c>
      <c r="P12" s="15" t="s">
        <v>23</v>
      </c>
    </row>
    <row r="13" spans="12:16" x14ac:dyDescent="0.2">
      <c r="L13" s="15" t="s">
        <v>24</v>
      </c>
      <c r="M13" s="13" t="str">
        <f>MIN(KEJELASAN!$C$35:$AL$35) &amp; " s/d " &amp; MAX(KEJELASAN!$C$35:$AL$35)</f>
        <v>0 s/d 0</v>
      </c>
      <c r="N13" s="13">
        <f>KEJELASAN!G43</f>
        <v>0</v>
      </c>
      <c r="O13" s="13">
        <v>0.73</v>
      </c>
      <c r="P13" s="13">
        <v>3.2000000000000001E-2</v>
      </c>
    </row>
    <row r="14" spans="12:16" x14ac:dyDescent="0.2">
      <c r="L14" s="15" t="s">
        <v>25</v>
      </c>
      <c r="M14" s="13" t="str">
        <f>MIN(RELEVANSI!$C$35:$AL$35) &amp; " s/d " &amp; MAX(RELEVANSI!$C$35:$AL$35)</f>
        <v>0 s/d 0</v>
      </c>
      <c r="N14" s="13">
        <f>RELEVANSI!F44</f>
        <v>0</v>
      </c>
      <c r="O14" s="13">
        <v>0.73</v>
      </c>
      <c r="P14" s="13">
        <v>3.2000000000000001E-2</v>
      </c>
    </row>
    <row r="15" spans="12:16" x14ac:dyDescent="0.2">
      <c r="L15" s="15" t="s">
        <v>26</v>
      </c>
      <c r="M15" s="13" t="str">
        <f>MIN(KESESUAIAN!$C$35:$AL$35) &amp; " s/d " &amp; MAX(KESESUAIAN!$C$35:$AL$35)</f>
        <v>0 s/d 0</v>
      </c>
      <c r="N15" s="13">
        <f>KESESUAIAN!E45</f>
        <v>0</v>
      </c>
      <c r="O15" s="13">
        <v>0.73</v>
      </c>
      <c r="P15" s="13">
        <v>3.2000000000000001E-2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KEJELASAN</vt:lpstr>
      <vt:lpstr>RELEVANSI</vt:lpstr>
      <vt:lpstr>KESESUAIAN</vt:lpstr>
      <vt:lpstr>Aiken Indeks</vt:lpstr>
      <vt:lpstr>KEJELASAN!Print_Area</vt:lpstr>
      <vt:lpstr>KESESUAIAN!Print_Area</vt:lpstr>
      <vt:lpstr>RELEVANSI!Print_Area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</dc:creator>
  <cp:lastModifiedBy>niken pratitis</cp:lastModifiedBy>
  <dcterms:created xsi:type="dcterms:W3CDTF">2020-04-13T05:37:47Z</dcterms:created>
  <dcterms:modified xsi:type="dcterms:W3CDTF">2026-04-13T04:10:57Z</dcterms:modified>
</cp:coreProperties>
</file>